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esktop\touhou_survivors\settings\data\"/>
    </mc:Choice>
  </mc:AlternateContent>
  <xr:revisionPtr revIDLastSave="0" documentId="13_ncr:1_{BD54D0CF-3EBB-4D38-8DF2-32B55B5DF19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Attack" sheetId="1" r:id="rId1"/>
  </sheets>
  <externalReferences>
    <externalReference r:id="rId2"/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" i="1" l="1"/>
  <c r="A29" i="1"/>
  <c r="G28" i="1"/>
  <c r="A28" i="1"/>
  <c r="A27" i="1"/>
  <c r="A26" i="1"/>
  <c r="A25" i="1"/>
  <c r="A24" i="1"/>
  <c r="A23" i="1"/>
  <c r="G22" i="1"/>
  <c r="A22" i="1"/>
  <c r="A21" i="1"/>
  <c r="A20" i="1"/>
  <c r="A19" i="1"/>
  <c r="AW18" i="1"/>
  <c r="AV18" i="1"/>
  <c r="AU18" i="1"/>
  <c r="AS18" i="1"/>
  <c r="AJ18" i="1"/>
  <c r="G18" i="1"/>
  <c r="A18" i="1"/>
  <c r="AW17" i="1"/>
  <c r="AV17" i="1"/>
  <c r="AU17" i="1"/>
  <c r="AT17" i="1"/>
  <c r="AS17" i="1"/>
  <c r="G17" i="1"/>
  <c r="A17" i="1"/>
  <c r="A16" i="1"/>
  <c r="AW15" i="1"/>
  <c r="AV15" i="1"/>
  <c r="AU15" i="1"/>
  <c r="AT15" i="1"/>
  <c r="AS15" i="1"/>
  <c r="AQ15" i="1"/>
  <c r="AP15" i="1"/>
  <c r="AO15" i="1"/>
  <c r="AJ15" i="1"/>
  <c r="AI15" i="1"/>
  <c r="AH15" i="1"/>
  <c r="AG15" i="1"/>
  <c r="AC15" i="1"/>
  <c r="AB15" i="1"/>
  <c r="W15" i="1"/>
  <c r="O15" i="1"/>
  <c r="K15" i="1"/>
  <c r="G15" i="1"/>
  <c r="A15" i="1"/>
  <c r="A14" i="1"/>
  <c r="A13" i="1"/>
  <c r="A12" i="1"/>
  <c r="U11" i="1"/>
  <c r="A11" i="1"/>
  <c r="A10" i="1"/>
  <c r="A9" i="1"/>
  <c r="A8" i="1"/>
  <c r="A7" i="1"/>
  <c r="A6" i="1"/>
  <c r="A5" i="1"/>
  <c r="A4" i="1"/>
</calcChain>
</file>

<file path=xl/sharedStrings.xml><?xml version="1.0" encoding="utf-8"?>
<sst xmlns="http://schemas.openxmlformats.org/spreadsheetml/2006/main" count="483" uniqueCount="262">
  <si>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</si>
  <si>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</si>
  <si>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</si>
  <si>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</si>
  <si>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</si>
  <si>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</si>
  <si>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</si>
  <si>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</si>
  <si>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</si>
  <si>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</si>
  <si>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</si>
  <si>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</si>
  <si>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</si>
  <si>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</si>
  <si>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</si>
  <si>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</si>
  <si>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</si>
  <si>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</si>
  <si>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</si>
  <si>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</si>
  <si>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</si>
  <si>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</si>
  <si>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</si>
  <si>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</si>
  <si>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</si>
  <si>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</si>
  <si>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</si>
  <si>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</si>
  <si>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</si>
  <si>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</si>
  <si>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</si>
  <si>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</si>
  <si>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</si>
  <si>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</si>
  <si>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</si>
  <si>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</si>
  <si>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</si>
  <si>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</si>
  <si>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</si>
  <si>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</si>
  <si>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</si>
  <si>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</si>
  <si>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</si>
  <si>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</si>
  <si>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</si>
  <si>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</si>
  <si>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</si>
  <si>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</si>
  <si>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</si>
  <si>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</si>
  <si>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</si>
  <si>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</si>
  <si>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</si>
  <si>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</si>
  <si>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</si>
  <si>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</si>
  <si>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</si>
  <si>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</si>
  <si>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</si>
  <si>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</si>
  <si>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</si>
  <si>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</si>
  <si>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</si>
  <si>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</si>
  <si>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</si>
  <si>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</si>
  <si>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</si>
  <si>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</si>
  <si>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</si>
  <si>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</si>
  <si>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</si>
  <si>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</si>
  <si>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</si>
  <si>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</si>
  <si>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</si>
  <si>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</si>
  <si>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</si>
  <si>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</si>
  <si>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</si>
  <si>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</si>
  <si>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</si>
  <si>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</si>
  <si>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</si>
  <si>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</si>
  <si>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</si>
  <si>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</si>
  <si>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</si>
  <si>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</si>
  <si>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</si>
  <si>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</si>
  <si>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</si>
  <si>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</si>
  <si>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</si>
  <si>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</si>
  <si>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</si>
  <si>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</si>
  <si>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</si>
  <si>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</si>
  <si>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</si>
  <si>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</si>
  <si>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</si>
  <si>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</si>
  <si>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</si>
  <si>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</si>
  <si>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</si>
  <si>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</si>
  <si>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</si>
  <si>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</si>
  <si>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</si>
  <si>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</si>
  <si>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</si>
  <si>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</si>
  <si>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</si>
  <si>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</si>
  <si>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</si>
  <si>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</si>
  <si>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</si>
  <si>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</si>
  <si>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</si>
  <si>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</si>
  <si>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</si>
  <si>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</si>
  <si>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</si>
  <si>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</si>
  <si>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</si>
  <si>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</si>
  <si>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</si>
  <si>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</si>
  <si>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</si>
  <si>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</si>
  <si>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</si>
  <si>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</si>
  <si>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</si>
  <si>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</si>
  <si>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</si>
  <si>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</si>
  <si>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</si>
  <si>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</si>
  <si>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</si>
  <si>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</si>
  <si>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</si>
  <si>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</si>
  <si>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</si>
  <si>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</si>
  <si>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</si>
  <si>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</si>
  <si>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</si>
  <si>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</si>
  <si>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</si>
  <si>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</si>
  <si>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</si>
  <si>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</si>
  <si>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</si>
  <si>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</si>
  <si>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</si>
  <si>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</si>
  <si>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</si>
  <si>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</si>
  <si>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</si>
  <si>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</si>
  <si>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</si>
  <si>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</si>
  <si>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</si>
  <si>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</si>
  <si>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</si>
  <si>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</si>
  <si>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</si>
  <si>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</si>
  <si>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</si>
  <si>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</si>
  <si>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</si>
  <si>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</si>
  <si>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</si>
  <si>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</si>
  <si>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</si>
  <si>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</si>
  <si>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</si>
  <si>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</si>
  <si>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</si>
  <si>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</si>
  <si>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</si>
  <si>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</si>
  <si>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</si>
  <si>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150|1080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</si>
  <si>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</si>
  <si>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</si>
  <si>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</si>
  <si>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</si>
  <si>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</si>
  <si>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</si>
  <si>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</si>
  <si>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</si>
  <si>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</si>
  <si>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</si>
  <si>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</si>
  <si>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</si>
  <si>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</si>
  <si>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</si>
  <si>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</si>
  <si>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</si>
  <si>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</si>
  <si>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</si>
  <si>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</si>
  <si>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</si>
  <si>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</si>
  <si>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</si>
  <si>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</si>
  <si>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</si>
  <si>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</si>
  <si>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</si>
  <si>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</si>
  <si>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</si>
  <si>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</si>
  <si>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</si>
  <si>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</si>
  <si>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</si>
  <si>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</si>
  <si>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</si>
  <si>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</si>
  <si>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</si>
  <si>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</si>
  <si>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</si>
  <si>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</si>
  <si>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</si>
  <si>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</si>
  <si>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</si>
  <si>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</si>
  <si>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</si>
  <si>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</si>
  <si>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</si>
  <si>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</si>
  <si>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</si>
  <si>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</si>
  <si>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</si>
  <si>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</si>
  <si>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</si>
  <si>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</si>
  <si>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</si>
  <si>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</si>
  <si>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</si>
  <si>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</si>
  <si>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600|1080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</si>
  <si>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</si>
  <si>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</si>
  <si>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</si>
  <si>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</si>
  <si>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</si>
  <si>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</si>
  <si>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</si>
  <si>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</si>
  <si>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</si>
  <si>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</si>
  <si>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</si>
  <si>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</si>
  <si>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</si>
  <si>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</si>
  <si>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</si>
  <si>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</si>
  <si>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</si>
  <si>
    <t>0|100|250</t>
    <phoneticPr fontId="13" type="noConversion"/>
  </si>
  <si>
    <t>250|200</t>
    <phoneticPr fontId="13" type="noConversion"/>
  </si>
  <si>
    <t>120|25|180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</si>
</sst>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1"/>
      <color theme="1"/>
      <name val="宋体"/>
      <charset val="134"/>
    </font>
    <font>
      <sz val="16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2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6" fillId="1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3" fontId="14" fillId="0" borderId="0" xfId="0" applyNumberFormat="1" applyFon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esktop\touhou_survivors\settings\data\Routine.xlsx" TargetMode="External"/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9"/>
  <sheetViews>
    <sheetView tabSelected="1" workbookViewId="0">
      <pane xSplit="2" ySplit="2" topLeftCell="AB12" activePane="bottomRight" state="frozen"/>
      <selection pane="topRight"/>
      <selection pane="bottomLeft"/>
      <selection pane="bottomRight" activeCell="B17" sqref="B17"/>
    </sheetView>
  </sheetViews>
  <sheetFormatPr defaultColWidth="9" defaultRowHeight="15.6" customHeight="1" x14ac:dyDescent="0.15"/>
  <cols>
    <col min="1" max="1" width="48.875" customWidth="1"/>
    <col min="2" max="2" width="20.875" customWidth="1"/>
    <col min="3" max="3" width="146.75" customWidth="1"/>
    <col min="4" max="4" width="33.125" customWidth="1"/>
    <col min="5" max="5" width="12.625" customWidth="1"/>
    <col min="6" max="6" width="33.125" customWidth="1"/>
    <col min="7" max="7" width="34.25" customWidth="1"/>
    <col min="8" max="8" width="15.25" customWidth="1"/>
    <col min="9" max="9" width="23.625" customWidth="1"/>
    <col min="10" max="10" width="28.625" customWidth="1"/>
    <col min="11" max="12" width="24.5" style="3" customWidth="1"/>
    <col min="13" max="14" width="23.625" style="3" customWidth="1"/>
    <col min="15" max="15" width="32" style="3" customWidth="1"/>
    <col min="16" max="16" width="37.625" style="3" customWidth="1"/>
    <col min="17" max="19" width="26.875" style="3" customWidth="1"/>
    <col min="20" max="20" width="23.25" customWidth="1"/>
    <col min="21" max="21" width="30" style="3" customWidth="1"/>
    <col min="22" max="22" width="34.875" style="3" customWidth="1"/>
    <col min="23" max="23" width="21.875" style="3" customWidth="1"/>
    <col min="24" max="24" width="28.75" style="3" customWidth="1"/>
    <col min="25" max="25" width="36.125" style="3" customWidth="1"/>
    <col min="26" max="26" width="28.75" style="3" customWidth="1"/>
    <col min="27" max="27" width="36.125" style="3" customWidth="1"/>
    <col min="28" max="28" width="16.125" style="3" customWidth="1"/>
    <col min="29" max="29" width="21.625" style="3" customWidth="1"/>
    <col min="30" max="30" width="36" style="3" customWidth="1"/>
    <col min="31" max="31" width="31.25" style="3" customWidth="1"/>
    <col min="32" max="32" width="25" style="3" customWidth="1"/>
    <col min="33" max="33" width="32.25" style="3" customWidth="1"/>
    <col min="34" max="34" width="39.25" style="3" customWidth="1"/>
    <col min="35" max="35" width="26.5" style="3" customWidth="1"/>
    <col min="36" max="36" width="16.125" style="3" customWidth="1"/>
    <col min="37" max="37" width="39.375" style="3" customWidth="1"/>
    <col min="38" max="38" width="33.625" style="3" customWidth="1"/>
    <col min="39" max="39" width="24.625" style="3" customWidth="1"/>
    <col min="40" max="40" width="36.5" style="3" customWidth="1"/>
    <col min="41" max="41" width="14.5" style="3" customWidth="1"/>
    <col min="42" max="42" width="40.375" style="3" customWidth="1"/>
    <col min="43" max="43" width="28" style="3" customWidth="1"/>
    <col min="44" max="44" width="33.25" style="3" customWidth="1"/>
    <col min="45" max="45" width="34.875" style="5" customWidth="1"/>
    <col min="46" max="46" width="33.625" style="5" customWidth="1"/>
    <col min="47" max="47" width="20.5" style="5" customWidth="1"/>
    <col min="48" max="48" width="23.75" style="3" customWidth="1"/>
    <col min="49" max="49" width="20.5" style="3" customWidth="1"/>
    <col min="50" max="16384" width="9" style="5"/>
  </cols>
  <sheetData>
    <row r="1" spans="1:49" s="1" customFormat="1" ht="15.6" customHeight="1" x14ac:dyDescent="0.15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20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pans="1:49" s="2" customFormat="1" ht="180" customHeight="1" x14ac:dyDescent="0.15">
      <c r="A2" s="7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13" t="s">
        <v>16</v>
      </c>
      <c r="L2" s="13" t="s">
        <v>17</v>
      </c>
      <c r="M2" s="13" t="s">
        <v>18</v>
      </c>
      <c r="N2" s="13" t="s">
        <v>19</v>
      </c>
      <c r="O2" s="14" t="s">
        <v>20</v>
      </c>
      <c r="P2" s="14" t="s">
        <v>21</v>
      </c>
      <c r="Q2" s="14" t="s">
        <v>22</v>
      </c>
      <c r="R2" s="14" t="s">
        <v>23</v>
      </c>
      <c r="S2" s="14" t="s">
        <v>24</v>
      </c>
      <c r="T2" s="16" t="s">
        <v>25</v>
      </c>
      <c r="U2" s="14" t="s">
        <v>26</v>
      </c>
      <c r="V2" s="14" t="s">
        <v>27</v>
      </c>
      <c r="W2" s="14" t="s">
        <v>28</v>
      </c>
      <c r="X2" s="14" t="s">
        <v>29</v>
      </c>
      <c r="Y2" s="14" t="s">
        <v>30</v>
      </c>
      <c r="Z2" s="14" t="s">
        <v>31</v>
      </c>
      <c r="AA2" s="14" t="s">
        <v>32</v>
      </c>
      <c r="AB2" s="14" t="s">
        <v>33</v>
      </c>
      <c r="AC2" s="17" t="s">
        <v>34</v>
      </c>
      <c r="AD2" s="17" t="s">
        <v>35</v>
      </c>
      <c r="AE2" s="17" t="s">
        <v>36</v>
      </c>
      <c r="AF2" s="17" t="s">
        <v>37</v>
      </c>
      <c r="AG2" s="17" t="s">
        <v>38</v>
      </c>
      <c r="AH2" s="21" t="s">
        <v>39</v>
      </c>
      <c r="AI2" s="21" t="s">
        <v>40</v>
      </c>
      <c r="AJ2" s="22" t="s">
        <v>41</v>
      </c>
      <c r="AK2" s="22" t="s">
        <v>42</v>
      </c>
      <c r="AL2" s="23" t="s">
        <v>43</v>
      </c>
      <c r="AM2" s="22" t="s">
        <v>44</v>
      </c>
      <c r="AN2" s="22" t="s">
        <v>45</v>
      </c>
      <c r="AO2" s="22" t="s">
        <v>46</v>
      </c>
      <c r="AP2" s="22" t="s">
        <v>47</v>
      </c>
      <c r="AQ2" s="22" t="s">
        <v>48</v>
      </c>
      <c r="AR2" s="22" t="s">
        <v>49</v>
      </c>
      <c r="AS2" s="17" t="s">
        <v>50</v>
      </c>
      <c r="AT2" s="27" t="s">
        <v>51</v>
      </c>
      <c r="AU2" s="27" t="s">
        <v>52</v>
      </c>
      <c r="AV2" s="27" t="s">
        <v>53</v>
      </c>
      <c r="AW2" s="27" t="s">
        <v>54</v>
      </c>
    </row>
    <row r="3" spans="1:49" s="1" customFormat="1" ht="15.6" customHeight="1" x14ac:dyDescent="0.15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20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pans="1:49" s="3" customFormat="1" ht="15.6" customHeight="1" x14ac:dyDescent="0.15">
      <c r="A4" t="str">
        <f>D4</f>
        <v>atk_basemagic</v>
      </c>
      <c r="B4" t="s">
        <v>101</v>
      </c>
      <c r="C4" t="s">
        <v>102</v>
      </c>
      <c r="D4" s="9" t="s">
        <v>103</v>
      </c>
      <c r="E4" s="9" t="s">
        <v>104</v>
      </c>
      <c r="F4" s="9" t="s">
        <v>105</v>
      </c>
      <c r="G4" s="10" t="s">
        <v>106</v>
      </c>
      <c r="H4" s="9"/>
      <c r="I4" s="9" t="s">
        <v>104</v>
      </c>
      <c r="J4" s="9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20</v>
      </c>
      <c r="AG4" s="3">
        <v>0</v>
      </c>
      <c r="AI4" s="3" t="s">
        <v>110</v>
      </c>
      <c r="AJ4" s="3" t="b">
        <v>1</v>
      </c>
      <c r="AK4" s="3" t="s">
        <v>111</v>
      </c>
      <c r="AL4" s="24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pans="1:49" s="3" customFormat="1" ht="15.6" customHeight="1" x14ac:dyDescent="0.15">
      <c r="A5" t="str">
        <f>D5</f>
        <v>atk_basephysics</v>
      </c>
      <c r="B5" t="s">
        <v>114</v>
      </c>
      <c r="C5" t="s">
        <v>115</v>
      </c>
      <c r="D5" s="9" t="s">
        <v>116</v>
      </c>
      <c r="E5" s="9" t="s">
        <v>104</v>
      </c>
      <c r="F5" s="9" t="s">
        <v>117</v>
      </c>
      <c r="G5" s="10" t="s">
        <v>118</v>
      </c>
      <c r="H5" s="9"/>
      <c r="I5" s="9" t="s">
        <v>104</v>
      </c>
      <c r="J5" s="9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100</v>
      </c>
      <c r="AG5" s="3">
        <v>0</v>
      </c>
      <c r="AI5" s="3" t="s">
        <v>113</v>
      </c>
      <c r="AJ5" s="3" t="b">
        <v>0</v>
      </c>
      <c r="AL5" s="24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spans="1:49" ht="15.6" customHeight="1" x14ac:dyDescent="0.15">
      <c r="A6" t="str">
        <f>D6</f>
        <v>atk_reimu</v>
      </c>
      <c r="B6" t="s">
        <v>120</v>
      </c>
      <c r="C6" t="s">
        <v>121</v>
      </c>
      <c r="D6" t="s">
        <v>122</v>
      </c>
      <c r="E6" s="9" t="s">
        <v>104</v>
      </c>
      <c r="F6" t="s">
        <v>123</v>
      </c>
      <c r="G6" t="s">
        <v>124</v>
      </c>
      <c r="H6" s="9" t="s">
        <v>125</v>
      </c>
      <c r="I6" s="9" t="s">
        <v>104</v>
      </c>
      <c r="J6" s="9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20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4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pans="1:49" s="4" customFormat="1" ht="15.6" customHeight="1" x14ac:dyDescent="0.15">
      <c r="A7" s="11" t="str">
        <f>D7&amp;"_"&amp;E7&amp;"_"&amp;I7</f>
        <v>atk_reimu_sanae_boost</v>
      </c>
      <c r="B7" s="11" t="s">
        <v>130</v>
      </c>
      <c r="C7" s="11" t="s">
        <v>131</v>
      </c>
      <c r="D7" s="11" t="s">
        <v>122</v>
      </c>
      <c r="E7" s="12" t="s">
        <v>132</v>
      </c>
      <c r="F7" t="s">
        <v>123</v>
      </c>
      <c r="G7" s="11"/>
      <c r="H7" s="12"/>
      <c r="I7" s="12" t="s">
        <v>133</v>
      </c>
      <c r="J7" s="12" t="s">
        <v>134</v>
      </c>
      <c r="K7" s="15"/>
      <c r="L7" s="15"/>
      <c r="M7" s="15"/>
      <c r="N7" s="15"/>
      <c r="O7" s="15"/>
      <c r="P7" s="15" t="s">
        <v>135</v>
      </c>
      <c r="Q7" s="15">
        <v>1</v>
      </c>
      <c r="R7" s="15">
        <v>0.5</v>
      </c>
      <c r="S7" s="15"/>
      <c r="T7" s="11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25"/>
      <c r="AM7" s="15"/>
      <c r="AN7" s="15"/>
      <c r="AO7" s="15"/>
      <c r="AP7" s="15"/>
      <c r="AQ7" s="15"/>
      <c r="AR7" s="15"/>
      <c r="AV7" s="15"/>
      <c r="AW7" s="15"/>
    </row>
    <row r="8" spans="1:49" ht="15.6" customHeight="1" x14ac:dyDescent="0.15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9" t="s">
        <v>104</v>
      </c>
      <c r="F8" t="s">
        <v>139</v>
      </c>
      <c r="G8" t="s">
        <v>140</v>
      </c>
      <c r="H8" s="9" t="s">
        <v>141</v>
      </c>
      <c r="I8" s="9" t="s">
        <v>104</v>
      </c>
      <c r="J8" s="9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20</v>
      </c>
      <c r="AG8" s="3">
        <v>0</v>
      </c>
      <c r="AI8" s="3" t="s">
        <v>110</v>
      </c>
      <c r="AJ8" s="3" t="b">
        <v>1</v>
      </c>
      <c r="AK8" s="3" t="s">
        <v>111</v>
      </c>
      <c r="AL8" s="24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spans="1:49" ht="15.6" customHeight="1" x14ac:dyDescent="0.15">
      <c r="A9" t="str">
        <f t="shared" si="0"/>
        <v>atk_sanae_type2</v>
      </c>
      <c r="B9" t="s">
        <v>143</v>
      </c>
      <c r="C9" t="s">
        <v>144</v>
      </c>
      <c r="D9" t="s">
        <v>145</v>
      </c>
      <c r="E9" s="9" t="s">
        <v>104</v>
      </c>
      <c r="F9" t="s">
        <v>139</v>
      </c>
      <c r="G9" t="s">
        <v>140</v>
      </c>
      <c r="H9" s="9" t="s">
        <v>141</v>
      </c>
      <c r="I9" s="9" t="s">
        <v>104</v>
      </c>
      <c r="J9" s="9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75</v>
      </c>
      <c r="AG9" s="3">
        <v>0</v>
      </c>
      <c r="AI9" s="3" t="s">
        <v>110</v>
      </c>
      <c r="AJ9" s="3" t="b">
        <v>1</v>
      </c>
      <c r="AK9" s="3" t="s">
        <v>111</v>
      </c>
      <c r="AL9" s="24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spans="1:49" ht="15.6" customHeight="1" x14ac:dyDescent="0.15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9" t="s">
        <v>104</v>
      </c>
      <c r="F10" t="s">
        <v>139</v>
      </c>
      <c r="G10" t="s">
        <v>140</v>
      </c>
      <c r="H10" s="9" t="s">
        <v>141</v>
      </c>
      <c r="I10" s="9" t="s">
        <v>104</v>
      </c>
      <c r="J10" s="9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250</v>
      </c>
      <c r="AG10" s="3">
        <v>0</v>
      </c>
      <c r="AI10" s="3" t="s">
        <v>113</v>
      </c>
      <c r="AJ10" s="3" t="b">
        <v>0</v>
      </c>
      <c r="AL10" s="24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spans="1:49" ht="15.6" customHeight="1" x14ac:dyDescent="0.15">
      <c r="A11" t="str">
        <f t="shared" si="0"/>
        <v>atk_rumia</v>
      </c>
      <c r="B11" t="s">
        <v>152</v>
      </c>
      <c r="C11" t="s">
        <v>153</v>
      </c>
      <c r="D11" t="s">
        <v>154</v>
      </c>
      <c r="E11" s="9" t="s">
        <v>104</v>
      </c>
      <c r="F11" t="s">
        <v>155</v>
      </c>
      <c r="G11" t="s">
        <v>156</v>
      </c>
      <c r="H11" t="s">
        <v>157</v>
      </c>
      <c r="I11" s="9" t="s">
        <v>104</v>
      </c>
      <c r="J11" s="9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40</v>
      </c>
      <c r="AG11" s="3">
        <v>0</v>
      </c>
      <c r="AI11" s="3" t="s">
        <v>110</v>
      </c>
      <c r="AJ11" s="3" t="b">
        <v>1</v>
      </c>
      <c r="AK11" s="3" t="s">
        <v>111</v>
      </c>
      <c r="AL11" s="24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spans="1:49" ht="15.6" customHeight="1" x14ac:dyDescent="0.15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9" t="s">
        <v>104</v>
      </c>
      <c r="F12" t="s">
        <v>163</v>
      </c>
      <c r="G12" t="s">
        <v>156</v>
      </c>
      <c r="H12" t="s">
        <v>157</v>
      </c>
      <c r="I12" s="9" t="s">
        <v>104</v>
      </c>
      <c r="J12" s="9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120</v>
      </c>
      <c r="AG12" s="3">
        <v>0</v>
      </c>
      <c r="AI12" s="3" t="s">
        <v>110</v>
      </c>
      <c r="AJ12" s="3" t="b">
        <v>0</v>
      </c>
      <c r="AL12" s="24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spans="1:49" ht="15.6" customHeight="1" x14ac:dyDescent="0.15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9" t="s">
        <v>104</v>
      </c>
      <c r="F13" t="s">
        <v>168</v>
      </c>
      <c r="G13" t="s">
        <v>169</v>
      </c>
      <c r="H13" t="s">
        <v>170</v>
      </c>
      <c r="I13" s="9" t="s">
        <v>104</v>
      </c>
      <c r="J13" s="9"/>
      <c r="K13" s="3" t="s">
        <v>151</v>
      </c>
      <c r="L13" s="3" t="s">
        <v>108</v>
      </c>
      <c r="M13" s="3">
        <v>3</v>
      </c>
      <c r="N13" s="3">
        <v>5</v>
      </c>
      <c r="W13" s="3" t="b">
        <v>0</v>
      </c>
      <c r="AB13" s="3">
        <v>999999</v>
      </c>
      <c r="AC13" s="3" t="s">
        <v>109</v>
      </c>
      <c r="AE13" s="3">
        <v>7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4"/>
      <c r="AM13" s="28" t="s">
        <v>259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spans="1:49" ht="15.6" customHeight="1" x14ac:dyDescent="0.15">
      <c r="A14" t="str">
        <f t="shared" si="0"/>
        <v>atk_alice_attachment</v>
      </c>
      <c r="B14" t="s">
        <v>172</v>
      </c>
      <c r="C14" t="s">
        <v>173</v>
      </c>
      <c r="D14" t="s">
        <v>174</v>
      </c>
      <c r="E14" s="9" t="s">
        <v>104</v>
      </c>
      <c r="F14" t="s">
        <v>175</v>
      </c>
      <c r="G14" t="s">
        <v>176</v>
      </c>
      <c r="H14" t="s">
        <v>177</v>
      </c>
      <c r="I14" s="9" t="s">
        <v>104</v>
      </c>
      <c r="J14" s="9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75</v>
      </c>
      <c r="AG14" s="3">
        <v>0</v>
      </c>
      <c r="AI14" s="3" t="s">
        <v>113</v>
      </c>
      <c r="AJ14" s="3" t="b">
        <v>0</v>
      </c>
      <c r="AL14" s="24"/>
      <c r="AO14" s="3" t="b">
        <v>1</v>
      </c>
      <c r="AP14" s="3" t="s">
        <v>178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spans="1:49" ht="15.6" customHeight="1" x14ac:dyDescent="0.15">
      <c r="A15" t="str">
        <f t="shared" si="0"/>
        <v>atk_alice_marisa_attachment</v>
      </c>
      <c r="B15" t="s">
        <v>179</v>
      </c>
      <c r="C15" t="s">
        <v>180</v>
      </c>
      <c r="D15" t="s">
        <v>181</v>
      </c>
      <c r="E15" s="9" t="s">
        <v>104</v>
      </c>
      <c r="F15" t="s">
        <v>182</v>
      </c>
      <c r="G15" t="str">
        <f>[2]Couple!$A$7</f>
        <v>cp_marisa_alice</v>
      </c>
      <c r="I15" s="9" t="s">
        <v>104</v>
      </c>
      <c r="J15" s="9"/>
      <c r="K15" s="3" t="str">
        <f>K25</f>
        <v>dot</v>
      </c>
      <c r="L15" s="3" t="s">
        <v>108</v>
      </c>
      <c r="M15" s="3">
        <v>50</v>
      </c>
      <c r="N15" s="3">
        <v>1</v>
      </c>
      <c r="O15" s="9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18" t="s">
        <v>183</v>
      </c>
      <c r="AF15" s="3" t="s">
        <v>184</v>
      </c>
      <c r="AG15" s="3">
        <f t="shared" si="1"/>
        <v>0</v>
      </c>
      <c r="AH15" s="3" t="str">
        <f t="shared" si="1"/>
        <v>front</v>
      </c>
      <c r="AI15" s="3" t="str">
        <f t="shared" si="1"/>
        <v>character</v>
      </c>
      <c r="AJ15" s="3" t="b">
        <f t="shared" si="1"/>
        <v>0</v>
      </c>
      <c r="AL15" s="24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pans="1:49" s="4" customFormat="1" ht="15.6" customHeight="1" x14ac:dyDescent="0.15">
      <c r="A16" s="11" t="str">
        <f>D16&amp;"_"&amp;E16&amp;"_"&amp;I16</f>
        <v>atk_alice_marisa_attachment_patchouli_boost</v>
      </c>
      <c r="B16" s="11" t="s">
        <v>185</v>
      </c>
      <c r="C16" s="11" t="s">
        <v>186</v>
      </c>
      <c r="D16" s="11" t="s">
        <v>181</v>
      </c>
      <c r="E16" s="12" t="s">
        <v>187</v>
      </c>
      <c r="F16" t="s">
        <v>182</v>
      </c>
      <c r="G16" s="11"/>
      <c r="H16" s="11"/>
      <c r="I16" s="12" t="s">
        <v>133</v>
      </c>
      <c r="J16" s="11" t="s">
        <v>188</v>
      </c>
      <c r="K16" s="15"/>
      <c r="L16" s="15"/>
      <c r="M16" s="15"/>
      <c r="N16" s="15"/>
      <c r="O16" s="15"/>
      <c r="P16" s="15"/>
      <c r="Q16" s="15"/>
      <c r="R16" s="15"/>
      <c r="S16" s="15"/>
      <c r="T16" s="11"/>
      <c r="U16" s="15"/>
      <c r="V16" s="15"/>
      <c r="W16" s="15"/>
      <c r="X16" s="15" t="s">
        <v>189</v>
      </c>
      <c r="Y16" s="15">
        <v>3</v>
      </c>
      <c r="Z16" s="15" t="s">
        <v>189</v>
      </c>
      <c r="AA16" s="15">
        <v>3</v>
      </c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5"/>
      <c r="AM16" s="15"/>
      <c r="AN16" s="15"/>
      <c r="AO16" s="15"/>
      <c r="AP16" s="15"/>
      <c r="AQ16" s="15"/>
      <c r="AR16" s="15"/>
      <c r="AV16" s="15"/>
      <c r="AW16" s="15"/>
    </row>
    <row r="17" spans="1:49" ht="15.6" customHeight="1" x14ac:dyDescent="0.15">
      <c r="A17" t="str">
        <f>D17</f>
        <v>atk_alice_patchouli_attachment1</v>
      </c>
      <c r="B17" t="s">
        <v>190</v>
      </c>
      <c r="C17" t="s">
        <v>191</v>
      </c>
      <c r="D17" t="s">
        <v>192</v>
      </c>
      <c r="E17" s="9" t="s">
        <v>104</v>
      </c>
      <c r="F17" t="s">
        <v>193</v>
      </c>
      <c r="G17" t="str">
        <f>[2]Couple!$A$9</f>
        <v>cp_alice_patchouli</v>
      </c>
      <c r="I17" t="s">
        <v>104</v>
      </c>
      <c r="J17" s="9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4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spans="1:49" ht="15.6" customHeight="1" x14ac:dyDescent="0.15">
      <c r="A18" t="str">
        <f>D18</f>
        <v>atk_alice_patchouli_attachment2</v>
      </c>
      <c r="B18" t="s">
        <v>194</v>
      </c>
      <c r="C18" t="s">
        <v>195</v>
      </c>
      <c r="D18" t="s">
        <v>196</v>
      </c>
      <c r="E18" s="9" t="s">
        <v>104</v>
      </c>
      <c r="F18" t="s">
        <v>197</v>
      </c>
      <c r="G18" t="str">
        <f>[2]Couple!$A$9</f>
        <v>cp_alice_patchouli</v>
      </c>
      <c r="I18" t="s">
        <v>104</v>
      </c>
      <c r="J18" s="9"/>
      <c r="K18" s="3" t="s">
        <v>151</v>
      </c>
      <c r="L18" s="3" t="s">
        <v>108</v>
      </c>
      <c r="M18" s="3">
        <v>0</v>
      </c>
      <c r="N18" s="3">
        <v>3</v>
      </c>
      <c r="S18" s="3" t="s">
        <v>198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4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spans="1:49" ht="15.6" customHeight="1" x14ac:dyDescent="0.15">
      <c r="A19" t="str">
        <f>D19</f>
        <v>atk_sekibanki</v>
      </c>
      <c r="B19" t="s">
        <v>199</v>
      </c>
      <c r="C19" t="s">
        <v>200</v>
      </c>
      <c r="D19" t="s">
        <v>201</v>
      </c>
      <c r="E19" s="9" t="s">
        <v>104</v>
      </c>
      <c r="F19" t="s">
        <v>202</v>
      </c>
      <c r="G19" t="s">
        <v>203</v>
      </c>
      <c r="H19" t="s">
        <v>204</v>
      </c>
      <c r="I19" s="9" t="s">
        <v>104</v>
      </c>
      <c r="J19" s="9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20</v>
      </c>
      <c r="AG19" s="3">
        <v>0</v>
      </c>
      <c r="AI19" s="3" t="s">
        <v>113</v>
      </c>
      <c r="AJ19" s="3" t="b">
        <v>1</v>
      </c>
      <c r="AK19" s="26" t="s">
        <v>205</v>
      </c>
      <c r="AL19" s="24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spans="1:49" ht="15.6" customHeight="1" x14ac:dyDescent="0.15">
      <c r="A20" t="str">
        <f>D20</f>
        <v>atk_misumaru</v>
      </c>
      <c r="B20" t="s">
        <v>206</v>
      </c>
      <c r="C20" t="s">
        <v>207</v>
      </c>
      <c r="D20" t="s">
        <v>208</v>
      </c>
      <c r="E20" s="9" t="s">
        <v>104</v>
      </c>
      <c r="F20" t="s">
        <v>209</v>
      </c>
      <c r="G20" t="s">
        <v>210</v>
      </c>
      <c r="H20" t="s">
        <v>211</v>
      </c>
      <c r="I20" s="9" t="s">
        <v>104</v>
      </c>
      <c r="J20" s="9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20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4"/>
      <c r="AM20" s="3" t="s">
        <v>212</v>
      </c>
      <c r="AN20" s="3" t="s">
        <v>184</v>
      </c>
      <c r="AO20" s="3" t="b">
        <v>1</v>
      </c>
      <c r="AP20" s="3" t="s">
        <v>178</v>
      </c>
      <c r="AQ20" s="3">
        <v>30</v>
      </c>
      <c r="AR20" s="3" t="s">
        <v>213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pans="1:49" s="4" customFormat="1" ht="15.6" customHeight="1" x14ac:dyDescent="0.15">
      <c r="A21" s="11" t="str">
        <f>D21&amp;"_"&amp;E21&amp;"_"&amp;I21</f>
        <v>atk_misumaru_reimu_boost</v>
      </c>
      <c r="B21" s="11" t="s">
        <v>214</v>
      </c>
      <c r="C21" s="11" t="s">
        <v>215</v>
      </c>
      <c r="D21" s="11" t="s">
        <v>208</v>
      </c>
      <c r="E21" s="12" t="s">
        <v>216</v>
      </c>
      <c r="F21" t="s">
        <v>209</v>
      </c>
      <c r="G21" s="11"/>
      <c r="H21" s="11"/>
      <c r="I21" s="12" t="s">
        <v>133</v>
      </c>
      <c r="J21" s="11" t="s">
        <v>217</v>
      </c>
      <c r="K21" s="15"/>
      <c r="L21" s="15"/>
      <c r="M21" s="15"/>
      <c r="N21" s="15"/>
      <c r="O21" s="15"/>
      <c r="P21" s="15"/>
      <c r="Q21" s="15"/>
      <c r="R21" s="15"/>
      <c r="S21" s="15"/>
      <c r="T21" s="11"/>
      <c r="U21" s="15"/>
      <c r="V21" t="s">
        <v>218</v>
      </c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5"/>
      <c r="AM21" s="15"/>
      <c r="AN21" s="15"/>
      <c r="AO21" s="15"/>
      <c r="AP21" s="15"/>
      <c r="AQ21" s="15"/>
      <c r="AR21" s="15"/>
      <c r="AV21" s="15"/>
      <c r="AW21" s="15"/>
    </row>
    <row r="22" spans="1:49" ht="15.6" customHeight="1" x14ac:dyDescent="0.15">
      <c r="A22" t="str">
        <f>D22</f>
        <v>atk_misumaru_reimu_attachment</v>
      </c>
      <c r="B22" t="s">
        <v>219</v>
      </c>
      <c r="C22" t="s">
        <v>220</v>
      </c>
      <c r="D22" t="s">
        <v>221</v>
      </c>
      <c r="E22" s="9" t="s">
        <v>104</v>
      </c>
      <c r="F22" t="s">
        <v>218</v>
      </c>
      <c r="G22" t="str">
        <f>[2]Couple!$A$6</f>
        <v>cp_reimu_misumaru</v>
      </c>
      <c r="I22" s="9" t="s">
        <v>104</v>
      </c>
      <c r="J22" s="9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80</v>
      </c>
      <c r="AG22" s="3">
        <v>0</v>
      </c>
      <c r="AI22" s="3" t="s">
        <v>110</v>
      </c>
      <c r="AJ22" s="3" t="b">
        <v>0</v>
      </c>
      <c r="AL22" s="24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spans="1:49" ht="15.6" customHeight="1" x14ac:dyDescent="0.15">
      <c r="A23" t="str">
        <f>D23</f>
        <v>atk_sakuya</v>
      </c>
      <c r="B23" t="s">
        <v>222</v>
      </c>
      <c r="C23" t="s">
        <v>223</v>
      </c>
      <c r="D23" t="s">
        <v>224</v>
      </c>
      <c r="E23" s="9" t="s">
        <v>104</v>
      </c>
      <c r="F23" t="s">
        <v>225</v>
      </c>
      <c r="G23" t="s">
        <v>226</v>
      </c>
      <c r="H23" t="s">
        <v>227</v>
      </c>
      <c r="I23" s="9" t="s">
        <v>104</v>
      </c>
      <c r="J23" s="9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228</v>
      </c>
      <c r="W23" s="3" t="b">
        <v>0</v>
      </c>
      <c r="AB23" s="3">
        <v>999999</v>
      </c>
      <c r="AC23" s="3" t="s">
        <v>109</v>
      </c>
      <c r="AE23" s="3">
        <v>20</v>
      </c>
      <c r="AG23" s="3">
        <v>0</v>
      </c>
      <c r="AI23" s="3" t="s">
        <v>113</v>
      </c>
      <c r="AJ23" s="3" t="b">
        <v>1</v>
      </c>
      <c r="AK23" s="26" t="s">
        <v>229</v>
      </c>
      <c r="AL23" s="24"/>
      <c r="AM23" s="29" t="s">
        <v>261</v>
      </c>
      <c r="AO23" s="3" t="b">
        <v>1</v>
      </c>
      <c r="AP23" s="3" t="s">
        <v>178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spans="1:49" ht="15.6" customHeight="1" x14ac:dyDescent="0.15">
      <c r="A24" t="str">
        <f>D24</f>
        <v>atk_sakuya_attachment</v>
      </c>
      <c r="B24" t="s">
        <v>230</v>
      </c>
      <c r="C24" t="s">
        <v>231</v>
      </c>
      <c r="D24" t="s">
        <v>232</v>
      </c>
      <c r="E24" s="9" t="s">
        <v>104</v>
      </c>
      <c r="F24" t="s">
        <v>228</v>
      </c>
      <c r="G24" t="s">
        <v>226</v>
      </c>
      <c r="H24" t="s">
        <v>227</v>
      </c>
      <c r="I24" s="9" t="s">
        <v>104</v>
      </c>
      <c r="J24" s="9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20</v>
      </c>
      <c r="AG24" s="3">
        <v>0</v>
      </c>
      <c r="AH24" s="3" t="s">
        <v>233</v>
      </c>
      <c r="AI24" s="3" t="s">
        <v>110</v>
      </c>
      <c r="AJ24" s="3" t="b">
        <v>1</v>
      </c>
      <c r="AK24" s="3" t="s">
        <v>111</v>
      </c>
      <c r="AL24" s="24"/>
      <c r="AM24" s="3" t="s">
        <v>147</v>
      </c>
      <c r="AN24" s="3" t="s">
        <v>184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spans="1:49" ht="15.6" customHeight="1" x14ac:dyDescent="0.15">
      <c r="A25" t="str">
        <f>D25</f>
        <v>atk_marisa</v>
      </c>
      <c r="B25" t="s">
        <v>234</v>
      </c>
      <c r="C25" t="s">
        <v>235</v>
      </c>
      <c r="D25" t="s">
        <v>236</v>
      </c>
      <c r="E25" s="9" t="s">
        <v>104</v>
      </c>
      <c r="F25" t="s">
        <v>237</v>
      </c>
      <c r="G25" t="s">
        <v>238</v>
      </c>
      <c r="H25" t="s">
        <v>239</v>
      </c>
      <c r="I25" s="9" t="s">
        <v>104</v>
      </c>
      <c r="J25" s="9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240</v>
      </c>
      <c r="AE25" s="19" t="s">
        <v>241</v>
      </c>
      <c r="AF25" s="3" t="s">
        <v>184</v>
      </c>
      <c r="AG25" s="3">
        <v>0</v>
      </c>
      <c r="AH25" s="3" t="s">
        <v>233</v>
      </c>
      <c r="AI25" s="3" t="s">
        <v>113</v>
      </c>
      <c r="AJ25" s="3" t="b">
        <v>0</v>
      </c>
      <c r="AL25" s="24"/>
      <c r="AO25" s="3" t="b">
        <v>1</v>
      </c>
      <c r="AP25" s="3" t="s">
        <v>242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pans="1:49" s="4" customFormat="1" ht="15.6" customHeight="1" x14ac:dyDescent="0.15">
      <c r="A26" s="11" t="str">
        <f>D26&amp;"_"&amp;E26&amp;"_"&amp;I26</f>
        <v>atk_marisa_patchouli_boost</v>
      </c>
      <c r="B26" s="11" t="s">
        <v>243</v>
      </c>
      <c r="C26" s="11" t="s">
        <v>186</v>
      </c>
      <c r="D26" s="11" t="s">
        <v>236</v>
      </c>
      <c r="E26" s="12" t="s">
        <v>187</v>
      </c>
      <c r="F26" t="s">
        <v>237</v>
      </c>
      <c r="G26" s="11"/>
      <c r="H26" s="11"/>
      <c r="I26" s="12" t="s">
        <v>133</v>
      </c>
      <c r="J26" s="12" t="s">
        <v>244</v>
      </c>
      <c r="K26" s="15"/>
      <c r="L26" s="15"/>
      <c r="M26" s="15"/>
      <c r="N26" s="15"/>
      <c r="O26" s="15"/>
      <c r="P26" s="15"/>
      <c r="Q26" s="15"/>
      <c r="R26" s="15"/>
      <c r="S26" s="15"/>
      <c r="T26" s="11"/>
      <c r="U26" s="15"/>
      <c r="V26" s="15"/>
      <c r="W26" s="15"/>
      <c r="X26" s="15" t="s">
        <v>189</v>
      </c>
      <c r="Y26" s="15">
        <v>3</v>
      </c>
      <c r="Z26" s="15" t="s">
        <v>189</v>
      </c>
      <c r="AA26" s="15">
        <v>3</v>
      </c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5"/>
      <c r="AM26" s="15"/>
      <c r="AN26" s="15"/>
      <c r="AO26" s="15" t="b">
        <v>0</v>
      </c>
      <c r="AP26" s="15"/>
      <c r="AQ26" s="15"/>
      <c r="AR26" s="15"/>
      <c r="AV26" s="15"/>
      <c r="AW26" s="15"/>
    </row>
    <row r="27" spans="1:49" ht="15.6" customHeight="1" x14ac:dyDescent="0.15">
      <c r="A27" t="str">
        <f>D27</f>
        <v>atk_youmu</v>
      </c>
      <c r="B27" t="s">
        <v>245</v>
      </c>
      <c r="C27" t="s">
        <v>246</v>
      </c>
      <c r="D27" t="s">
        <v>247</v>
      </c>
      <c r="E27" s="9" t="s">
        <v>104</v>
      </c>
      <c r="F27" t="s">
        <v>248</v>
      </c>
      <c r="G27" t="s">
        <v>249</v>
      </c>
      <c r="H27" t="s">
        <v>250</v>
      </c>
      <c r="I27" s="9" t="s">
        <v>104</v>
      </c>
      <c r="J27" s="9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240</v>
      </c>
      <c r="AE27" s="29" t="s">
        <v>260</v>
      </c>
      <c r="AF27" s="3" t="s">
        <v>184</v>
      </c>
      <c r="AG27" s="3">
        <v>0</v>
      </c>
      <c r="AH27" s="3" t="s">
        <v>233</v>
      </c>
      <c r="AI27" s="3" t="s">
        <v>110</v>
      </c>
      <c r="AJ27" s="3" t="b">
        <v>0</v>
      </c>
      <c r="AO27" s="15" t="b">
        <v>0</v>
      </c>
      <c r="AP27" s="15"/>
      <c r="AQ27" s="15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spans="1:49" ht="15.6" customHeight="1" x14ac:dyDescent="0.15">
      <c r="A28" t="str">
        <f>D28</f>
        <v>atk_reimu_marisa_attachment1</v>
      </c>
      <c r="B28" t="s">
        <v>251</v>
      </c>
      <c r="C28" t="s">
        <v>252</v>
      </c>
      <c r="D28" t="s">
        <v>253</v>
      </c>
      <c r="E28" s="9" t="s">
        <v>104</v>
      </c>
      <c r="F28" t="s">
        <v>254</v>
      </c>
      <c r="G28" t="str">
        <f>[2]Couple!$A$4</f>
        <v>cp_reimu_marisa</v>
      </c>
      <c r="I28" s="9" t="s">
        <v>104</v>
      </c>
      <c r="J28" s="9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150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spans="1:49" ht="15.6" customHeight="1" x14ac:dyDescent="0.15">
      <c r="A29" t="str">
        <f>D29</f>
        <v>atk_reimu_marisa_attachment2</v>
      </c>
      <c r="B29" t="s">
        <v>255</v>
      </c>
      <c r="C29" t="s">
        <v>256</v>
      </c>
      <c r="D29" t="s">
        <v>257</v>
      </c>
      <c r="E29" s="9" t="s">
        <v>104</v>
      </c>
      <c r="F29" t="s">
        <v>258</v>
      </c>
      <c r="G29" t="str">
        <f>[2]Couple!$A$4</f>
        <v>cp_reimu_marisa</v>
      </c>
      <c r="I29" s="9" t="s">
        <v>104</v>
      </c>
      <c r="J29" s="9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250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phoneticPr fontId="13" type="noConversion"/>
  <dataValidations count="1">
    <dataValidation type="list" allowBlank="1" showInputMessage="1" showErrorMessage="1" sqref="W16 W25:W1048576 AJ16:AJ17 AJ25:AJ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6"/>
  <pixelatorList sheetStid="7"/>
  <pixelatorList sheetStid="8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nep Hina</cp:lastModifiedBy>
  <dcterms:created xsi:type="dcterms:W3CDTF">2023-05-12T19:15:00Z</dcterms:created>
  <dcterms:modified xsi:type="dcterms:W3CDTF">2025-08-19T14:23:39Z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23D06FF88DED44E783F06836CF85456A_12</vt:lpwstr>
  </property>
</Properties>
</file>